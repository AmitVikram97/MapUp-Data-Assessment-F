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mitv\Desktop\MapUp-Data-Assessment-F-main\MapUp-Data-Assessment-F-main\"/>
    </mc:Choice>
  </mc:AlternateContent>
  <xr:revisionPtr revIDLastSave="0" documentId="8_{E7C1B6B5-5A58-4963-B75B-F2EB1B010CFD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19" l="1"/>
  <c r="D13" i="19"/>
  <c r="D14" i="19"/>
  <c r="D15" i="19"/>
  <c r="D16" i="19"/>
  <c r="D17" i="19"/>
  <c r="D18" i="19"/>
  <c r="D19" i="19"/>
  <c r="D20" i="19"/>
  <c r="D21" i="19"/>
  <c r="D12" i="19"/>
  <c r="B16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9" i="16"/>
  <c r="B19" i="16"/>
  <c r="C18" i="16"/>
  <c r="B18" i="16"/>
  <c r="C17" i="16"/>
  <c r="B17" i="16"/>
  <c r="C16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30" i="18"/>
  <c r="F29" i="18"/>
  <c r="E30" i="18"/>
  <c r="E29" i="18"/>
  <c r="E28" i="18"/>
  <c r="F28" i="18"/>
  <c r="D28" i="18"/>
  <c r="D30" i="18"/>
  <c r="D29" i="18"/>
  <c r="C30" i="18"/>
  <c r="C29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  <c r="H41" i="1"/>
</calcChain>
</file>

<file path=xl/sharedStrings.xml><?xml version="1.0" encoding="utf-8"?>
<sst xmlns="http://schemas.openxmlformats.org/spreadsheetml/2006/main" count="329" uniqueCount="183">
  <si>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</si>
  <si>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</si>
  <si>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</si>
  <si>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</si>
  <si>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</si>
  <si>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</si>
  <si>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</si>
  <si>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</si>
  <si>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</si>
  <si>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</si>
  <si>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</si>
  <si>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</si>
  <si>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</si>
  <si>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</si>
  <si>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</si>
  <si>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</si>
  <si>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</si>
  <si>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</si>
  <si>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</si>
  <si>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</si>
  <si>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</si>
  <si>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</si>
  <si>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</si>
  <si>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</si>
  <si>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</si>
  <si>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</si>
  <si>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</si>
  <si>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</si>
  <si>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</si>
  <si>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</si>
  <si>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</si>
  <si>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</si>
  <si>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</si>
  <si>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</si>
  <si>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</si>
  <si>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</si>
  <si>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</si>
  <si>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</si>
  <si>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</si>
  <si>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</si>
  <si>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</si>
  <si>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</si>
  <si>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</si>
  <si>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</si>
  <si>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</si>
  <si>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</si>
  <si>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</si>
  <si>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</si>
  <si>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</si>
  <si>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</si>
  <si>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</si>
  <si>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</si>
  <si>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</si>
  <si>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</si>
  <si>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</si>
  <si>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</si>
  <si>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</si>
  <si>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</si>
  <si>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</si>
  <si>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</si>
  <si>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</si>
  <si>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</si>
  <si>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</si>
  <si>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</si>
  <si>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</si>
  <si>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</si>
  <si>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</si>
  <si>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</si>
  <si>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</si>
  <si>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</si>
  <si>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</si>
  <si>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</si>
  <si>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</si>
  <si>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</si>
  <si>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</si>
  <si>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</si>
  <si>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</si>
  <si>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</si>
  <si>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</si>
  <si>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</si>
  <si>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</si>
  <si>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</si>
  <si>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</si>
  <si>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</si>
  <si>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</si>
  <si>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</si>
  <si>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</si>
  <si>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</si>
  <si>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</si>
  <si>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</si>
  <si>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</si>
  <si>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</si>
  <si>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</si>
  <si>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</si>
  <si>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</si>
  <si>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</si>
  <si>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</si>
  <si>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</si>
  <si>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</si>
  <si>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</si>
  <si>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</si>
  <si>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</si>
  <si>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</si>
  <si>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</si>
  <si>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</si>
  <si>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</si>
  <si>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</si>
  <si>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</si>
  <si>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</si>
  <si>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</si>
  <si>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</si>
  <si>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</si>
  <si>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</si>
  <si>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</si>
  <si>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</si>
  <si>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</si>
  <si>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</si>
  <si>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</si>
  <si>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</si>
  <si>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</si>
  <si>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</si>
  <si>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</si>
  <si>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</si>
  <si>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</si>
  <si>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</si>
  <si>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</si>
  <si>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</si>
  <si>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</si>
  <si>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</si>
  <si>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</si>
  <si>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</si>
  <si>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</si>
  <si>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</si>
  <si>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</si>
  <si>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</si>
  <si>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</si>
  <si>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</si>
  <si>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</si>
  <si>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</si>
  <si>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</si>
  <si>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</si>
  <si>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</si>
  <si>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</si>
  <si>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</si>
  <si>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</si>
  <si>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</si>
  <si>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</si>
  <si>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</si>
  <si>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</si>
  <si>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</si>
  <si>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</si>
  <si>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</si>
  <si>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</si>
  <si>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</si>
  <si>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</si>
  <si>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</si>
  <si>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</si>
  <si>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</si>
  <si>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</si>
  <si>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</si>
  <si>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</si>
  <si>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</si>
  <si>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</si>
  <si>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</si>
  <si>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</si>
  <si>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</si>
  <si>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</si>
  <si>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</si>
  <si>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</si>
  <si>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</si>
  <si>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</si>
  <si>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</si>
  <si>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</si>
  <si>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</si>
  <si>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</si>
  <si>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functions like LEFT, MID, RIGHT, FIND, and SUBSTITUTE.</t>
  </si>
  <si>
    <t xml:space="preserve">The functions used in the formulas for splitting text in Excel are essential for manipulating text strings based on specified delimiters or positions within the string. </t>
  </si>
  <si>
    <t>FIND:Finds the starting position of a specified text within another text string. It returns the position of the first occurrence of the text.</t>
  </si>
  <si>
    <t>LEFT/RIGHTExtracts a specified number of characters from the beginning (left side/right side) of a text string.</t>
  </si>
  <si>
    <t>MID:  Extracts a specified number of characters from a text string, starting at a specific position.</t>
  </si>
  <si>
    <t xml:space="preserve">Sales </t>
  </si>
  <si>
    <t>For Checking NA: =IFERROR(C12, 20), This formula checks each cell in column C. If the cell contains an error (in this case, #N/A), it replaces that error with the value '20'. If the cell contains any other value or is not an error, it retains its original value.</t>
  </si>
  <si>
    <t>For Sum: SUM(D12:D21)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</si>
</sst>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37415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7" fontId="7" fillId="0" borderId="0" xfId="0" applyNumberFormat="1" applyFont="1"/>
    <xf numFmtId="167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106</v>
      </c>
    </row>
    <row r="2" spans="1:3" x14ac:dyDescent="0.3">
      <c r="A2" s="2" t="s">
        <v>107</v>
      </c>
    </row>
    <row r="3" spans="1:3" x14ac:dyDescent="0.3">
      <c r="A3" s="2" t="s">
        <v>108</v>
      </c>
    </row>
    <row r="4" spans="1:3" ht="14.4" x14ac:dyDescent="0.3">
      <c r="A4" s="2" t="s">
        <v>109</v>
      </c>
      <c r="C4" s="1"/>
    </row>
    <row r="5" spans="1:3" x14ac:dyDescent="0.3">
      <c r="A5" s="2" t="s">
        <v>150</v>
      </c>
    </row>
    <row r="8" spans="1:3" x14ac:dyDescent="0.3">
      <c r="A8" s="2" t="s">
        <v>171</v>
      </c>
    </row>
    <row r="9" spans="1:3" x14ac:dyDescent="0.3">
      <c r="A9" s="35" t="s">
        <v>169</v>
      </c>
      <c r="B9" s="25" t="s">
        <v>167</v>
      </c>
    </row>
    <row r="10" spans="1:3" x14ac:dyDescent="0.3">
      <c r="A10" s="34" t="s">
        <v>170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97</v>
      </c>
      <c r="B14" s="36">
        <v>40</v>
      </c>
    </row>
    <row r="15" spans="1:3" x14ac:dyDescent="0.3">
      <c r="A15" s="37" t="s">
        <v>168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K1" zoomScaleNormal="100" workbookViewId="0">
      <pane ySplit="1" topLeftCell="A2" activePane="bottomLeft" state="frozen"/>
      <selection pane="bottomLeft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1" width="19" style="1" bestFit="1" customWidth="1"/>
    <col min="22" max="22" width="19" style="1" customWidth="1"/>
    <col min="23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/>
    </row>
    <row r="2" spans="1:24" ht="13.8" customHeight="1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11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11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11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11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11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11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11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11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11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11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11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11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11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11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11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11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11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11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11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11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11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11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11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11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11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11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11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11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11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11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11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11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11</v>
      </c>
      <c r="W40" s="1">
        <v>93.1</v>
      </c>
      <c r="X40" s="46">
        <v>45162</v>
      </c>
    </row>
    <row r="41" spans="1:24" x14ac:dyDescent="0.3">
      <c r="H41" s="1">
        <f>SUMIF(H2:H40,"&gt;20")</f>
        <v>1473.0000000000002</v>
      </c>
    </row>
  </sheetData>
  <conditionalFormatting sqref="A1:XFD1048576">
    <cfRule type="expression" dxfId="2" priority="2">
      <formula>A1=-1</formula>
    </cfRule>
  </conditionalFormatting>
  <conditionalFormatting sqref="G1:X40">
    <cfRule type="expression" dxfId="0" priority="1">
      <formula>G1=0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174</v>
      </c>
    </row>
    <row r="2" spans="1:5" x14ac:dyDescent="0.3">
      <c r="A2" s="2"/>
      <c r="B2" s="5" t="s">
        <v>158</v>
      </c>
      <c r="C2" s="2"/>
    </row>
    <row r="3" spans="1:5" x14ac:dyDescent="0.3">
      <c r="A3" s="6">
        <v>1</v>
      </c>
      <c r="B3" s="2" t="s">
        <v>105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103</v>
      </c>
      <c r="C5" s="33">
        <f>SUMIF(Dataset!H2:H40,"&gt;20")</f>
        <v>1473.0000000000002</v>
      </c>
      <c r="E5" s="1">
        <v>10</v>
      </c>
    </row>
    <row r="6" spans="1:5" x14ac:dyDescent="0.3">
      <c r="A6" s="6">
        <v>4</v>
      </c>
      <c r="B6" s="2" t="s">
        <v>104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6" zoomScaleNormal="10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162</v>
      </c>
    </row>
    <row r="2" spans="1:7" s="40" customFormat="1" ht="21" x14ac:dyDescent="0.4">
      <c r="B2" s="40" t="s">
        <v>159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160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VLOOKUP(A6, Dataset!A:X, 7, FALSE)</f>
        <v>2.7</v>
      </c>
      <c r="C6" s="11">
        <f>VLOOKUP(A6, Dataset!A:X, 14, FALSE)</f>
        <v>7.6</v>
      </c>
      <c r="D6" s="11">
        <f>VLOOKUP(A6, Dataset!A:X, 18, FALSE)</f>
        <v>4.2</v>
      </c>
      <c r="E6" s="11">
        <f>VLOOKUP(A6, Dataset!A:X, 20, FALSE)</f>
        <v>8.9</v>
      </c>
      <c r="F6" s="8">
        <f>VLOOKUP(A6, Dataset!A:X, 22, FALSE)</f>
        <v>4.2</v>
      </c>
    </row>
    <row r="7" spans="1:7" ht="14.4" x14ac:dyDescent="0.3">
      <c r="A7" s="7" t="s">
        <v>4</v>
      </c>
      <c r="B7" s="11">
        <f>VLOOKUP(A7, Dataset!A:X, 7, FALSE)</f>
        <v>2.7</v>
      </c>
      <c r="C7" s="11">
        <f>VLOOKUP(A7, Dataset!A:X, 14, FALSE)</f>
        <v>7.6</v>
      </c>
      <c r="D7" s="11">
        <f>VLOOKUP(A7, Dataset!A:X, 18, FALSE)</f>
        <v>4.2</v>
      </c>
      <c r="E7" s="11">
        <f>VLOOKUP(A7, Dataset!A:X, 20, FALSE)</f>
        <v>8.9</v>
      </c>
      <c r="F7" s="8">
        <f>VLOOKUP(A7, Dataset!A:X, 22, FALSE)</f>
        <v>4.2</v>
      </c>
    </row>
    <row r="8" spans="1:7" ht="14.4" x14ac:dyDescent="0.3">
      <c r="A8" s="7" t="s">
        <v>7</v>
      </c>
      <c r="B8" s="11">
        <f>VLOOKUP(A8, Dataset!A:X, 7, FALSE)</f>
        <v>3.6</v>
      </c>
      <c r="C8" s="11">
        <f>VLOOKUP(A8, Dataset!A:X, 14, FALSE)</f>
        <v>11.1</v>
      </c>
      <c r="D8" s="11">
        <f>VLOOKUP(A8, Dataset!A:X, 18, FALSE)</f>
        <v>5.8</v>
      </c>
      <c r="E8" s="11">
        <f>VLOOKUP(A8, Dataset!A:X, 20, FALSE)</f>
        <v>12.2</v>
      </c>
      <c r="F8" s="8">
        <f>VLOOKUP(A8, Dataset!A:X, 22, FALSE)</f>
        <v>5.8</v>
      </c>
    </row>
    <row r="9" spans="1:7" ht="14.4" x14ac:dyDescent="0.3">
      <c r="A9" s="7" t="s">
        <v>8</v>
      </c>
      <c r="B9" s="11">
        <f>VLOOKUP(A9, Dataset!A:X, 7, FALSE)</f>
        <v>4.9000000000000004</v>
      </c>
      <c r="C9" s="11">
        <f>VLOOKUP(A9, Dataset!A:X, 14, FALSE)</f>
        <v>13.3</v>
      </c>
      <c r="D9" s="11">
        <f>VLOOKUP(A9, Dataset!A:X, 18, FALSE)</f>
        <v>8.1</v>
      </c>
      <c r="E9" s="11">
        <f>VLOOKUP(A9, Dataset!A:X, 20, FALSE)</f>
        <v>17</v>
      </c>
      <c r="F9" s="8">
        <f>VLOOKUP(A9, Dataset!A:X, 22, FALSE)</f>
        <v>8.1</v>
      </c>
    </row>
    <row r="10" spans="1:7" ht="14.4" x14ac:dyDescent="0.3">
      <c r="A10" s="7" t="s">
        <v>11</v>
      </c>
      <c r="B10" s="11">
        <f>VLOOKUP(A10, Dataset!A:X, 7, FALSE)</f>
        <v>9.4</v>
      </c>
      <c r="C10" s="11">
        <f>VLOOKUP(A10, Dataset!A:X, 14, FALSE)</f>
        <v>28.3</v>
      </c>
      <c r="D10" s="11">
        <f>VLOOKUP(A10, Dataset!A:X, 18, FALSE)</f>
        <v>16.100000000000001</v>
      </c>
      <c r="E10" s="11">
        <f>VLOOKUP(A10, Dataset!A:X, 20, FALSE)</f>
        <v>32.799999999999997</v>
      </c>
      <c r="F10" s="8">
        <f>VLOOKUP(A10, Dataset!A:X, 22, FALSE)</f>
        <v>11</v>
      </c>
    </row>
    <row r="11" spans="1:7" ht="14.4" x14ac:dyDescent="0.3">
      <c r="A11" s="7" t="s">
        <v>12</v>
      </c>
      <c r="B11" s="11">
        <f>VLOOKUP(A11, Dataset!A:X, 7, FALSE)</f>
        <v>11.6</v>
      </c>
      <c r="C11" s="11">
        <f>VLOOKUP(A11, Dataset!A:X, 14, FALSE)</f>
        <v>35.200000000000003</v>
      </c>
      <c r="D11" s="11">
        <f>VLOOKUP(A11, Dataset!A:X, 18, FALSE)</f>
        <v>21.3</v>
      </c>
      <c r="E11" s="11">
        <f>VLOOKUP(A11, Dataset!A:X, 20, FALSE)</f>
        <v>43</v>
      </c>
      <c r="F11" s="8">
        <f>VLOOKUP(A11, Dataset!A:X, 22, FALSE)</f>
        <v>11</v>
      </c>
    </row>
    <row r="12" spans="1:7" ht="14.4" x14ac:dyDescent="0.3">
      <c r="A12" s="7" t="s">
        <v>14</v>
      </c>
      <c r="B12" s="11">
        <f>VLOOKUP(A12, Dataset!A:X, 7, FALSE)</f>
        <v>18.399999999999999</v>
      </c>
      <c r="C12" s="11">
        <f>VLOOKUP(A12, Dataset!A:X, 14, FALSE)</f>
        <v>55.6</v>
      </c>
      <c r="D12" s="11">
        <f>VLOOKUP(A12, Dataset!A:X, 18, FALSE)</f>
        <v>33.799999999999997</v>
      </c>
      <c r="E12" s="11">
        <f>VLOOKUP(A12, Dataset!A:X, 20, FALSE)</f>
        <v>67.900000000000006</v>
      </c>
      <c r="F12" s="8">
        <f>VLOOKUP(A12, Dataset!A:X, 22, FALSE)</f>
        <v>11</v>
      </c>
    </row>
    <row r="13" spans="1:7" ht="14.4" x14ac:dyDescent="0.3">
      <c r="A13" s="7" t="s">
        <v>15</v>
      </c>
      <c r="B13" s="11">
        <f>VLOOKUP(A13, Dataset!A:X, 7, FALSE)</f>
        <v>0</v>
      </c>
      <c r="C13" s="11">
        <f>VLOOKUP(A13, Dataset!A:X, 14, FALSE)</f>
        <v>0</v>
      </c>
      <c r="D13" s="11">
        <f>VLOOKUP(A13, Dataset!A:X, 18, FALSE)</f>
        <v>0</v>
      </c>
      <c r="E13" s="11">
        <f>VLOOKUP(A13, Dataset!A:X, 20, FALSE)</f>
        <v>0</v>
      </c>
      <c r="F13" s="8">
        <f>VLOOKUP(A13, Dataset!A:X, 22, FALSE)</f>
        <v>11</v>
      </c>
    </row>
    <row r="14" spans="1:7" ht="14.4" x14ac:dyDescent="0.3">
      <c r="A14" s="7" t="s">
        <v>16</v>
      </c>
      <c r="B14" s="11">
        <f>VLOOKUP(A14, Dataset!A:X, 7, FALSE)</f>
        <v>21.9</v>
      </c>
      <c r="C14" s="11">
        <f>VLOOKUP(A14, Dataset!A:X, 14, FALSE)</f>
        <v>61.5</v>
      </c>
      <c r="D14" s="11">
        <f>VLOOKUP(A14, Dataset!A:X, 18, FALSE)</f>
        <v>40.1</v>
      </c>
      <c r="E14" s="11">
        <f>VLOOKUP(A14, Dataset!A:X, 20, FALSE)</f>
        <v>76.599999999999994</v>
      </c>
      <c r="F14" s="8">
        <f>VLOOKUP(A14, Dataset!A:X, 22, FALSE)</f>
        <v>11</v>
      </c>
    </row>
    <row r="15" spans="1:7" ht="14.4" x14ac:dyDescent="0.3">
      <c r="A15" s="7" t="s">
        <v>18</v>
      </c>
      <c r="B15" s="11">
        <f>VLOOKUP(A15, Dataset!A:X, 7, FALSE)</f>
        <v>26.8</v>
      </c>
      <c r="C15" s="11">
        <f>VLOOKUP(A15, Dataset!A:X, 14, FALSE)</f>
        <v>79.599999999999994</v>
      </c>
      <c r="D15" s="11">
        <f>VLOOKUP(A15, Dataset!A:X, 18, FALSE)</f>
        <v>47.9</v>
      </c>
      <c r="E15" s="11">
        <f>VLOOKUP(A15, Dataset!A:X, 20, FALSE)</f>
        <v>96.8</v>
      </c>
      <c r="F15" s="8">
        <f>VLOOKUP(A15, Dataset!A:X, 22, FALSE)</f>
        <v>11</v>
      </c>
    </row>
    <row r="16" spans="1:7" ht="14.4" x14ac:dyDescent="0.3">
      <c r="A16" s="7" t="s">
        <v>20</v>
      </c>
      <c r="B16" s="11">
        <f>VLOOKUP(A16, Dataset!A:X, 7, FALSE)</f>
        <v>28.5</v>
      </c>
      <c r="C16" s="11">
        <f>VLOOKUP(A16, Dataset!A:X, 14, FALSE)</f>
        <v>85.4</v>
      </c>
      <c r="D16" s="11">
        <f>VLOOKUP(A16, Dataset!A:X, 18, FALSE)</f>
        <v>52.3</v>
      </c>
      <c r="E16" s="11">
        <f>VLOOKUP(A16, Dataset!A:X, 20, FALSE)</f>
        <v>106.1</v>
      </c>
      <c r="F16" s="8">
        <f>VLOOKUP(A16, Dataset!A:X, 22, FALSE)</f>
        <v>11</v>
      </c>
    </row>
    <row r="17" spans="1:6" ht="14.4" x14ac:dyDescent="0.3">
      <c r="A17" s="7" t="s">
        <v>22</v>
      </c>
      <c r="B17" s="11">
        <f>VLOOKUP(A17, Dataset!A:X, 7, FALSE)</f>
        <v>30.7</v>
      </c>
      <c r="C17" s="11">
        <f>VLOOKUP(A17, Dataset!A:X, 14, FALSE)</f>
        <v>92.1</v>
      </c>
      <c r="D17" s="11">
        <f>VLOOKUP(A17, Dataset!A:X, 18, FALSE)</f>
        <v>57</v>
      </c>
      <c r="E17" s="11">
        <f>VLOOKUP(A17, Dataset!A:X, 20, FALSE)</f>
        <v>115.1</v>
      </c>
      <c r="F17" s="8">
        <f>VLOOKUP(A17, Dataset!A:X, 22, FALSE)</f>
        <v>11</v>
      </c>
    </row>
    <row r="18" spans="1:6" ht="14.4" x14ac:dyDescent="0.3">
      <c r="A18" s="7" t="s">
        <v>23</v>
      </c>
      <c r="B18" s="11">
        <f>VLOOKUP(A18, Dataset!A:X, 7, FALSE)</f>
        <v>33.799999999999997</v>
      </c>
      <c r="C18" s="11">
        <f>VLOOKUP(A18, Dataset!A:X, 14, FALSE)</f>
        <v>101.3</v>
      </c>
      <c r="D18" s="11">
        <f>VLOOKUP(A18, Dataset!A:X, 18, FALSE)</f>
        <v>61.4</v>
      </c>
      <c r="E18" s="11">
        <f>VLOOKUP(A18, Dataset!A:X, 20, FALSE)</f>
        <v>124.4</v>
      </c>
      <c r="F18" s="8">
        <f>VLOOKUP(A18, Dataset!A:X, 22, FALSE)</f>
        <v>11</v>
      </c>
    </row>
    <row r="19" spans="1:6" ht="14.4" x14ac:dyDescent="0.3">
      <c r="A19" s="7" t="s">
        <v>24</v>
      </c>
      <c r="B19" s="11">
        <f>VLOOKUP(A19, Dataset!A:X, 7, FALSE)</f>
        <v>34.700000000000003</v>
      </c>
      <c r="C19" s="11">
        <f>VLOOKUP(A19, Dataset!A:X, 14, FALSE)</f>
        <v>106.1</v>
      </c>
      <c r="D19" s="11">
        <f>VLOOKUP(A19, Dataset!A:X, 18, FALSE)</f>
        <v>63.6</v>
      </c>
      <c r="E19" s="11">
        <f>VLOOKUP(A19, Dataset!A:X, 20, FALSE)</f>
        <v>128.6</v>
      </c>
      <c r="F19" s="8">
        <f>VLOOKUP(A19, Dataset!A:X, 22, FALSE)</f>
        <v>11</v>
      </c>
    </row>
    <row r="20" spans="1:6" ht="14.4" x14ac:dyDescent="0.3">
      <c r="A20" s="7" t="s">
        <v>28</v>
      </c>
      <c r="B20" s="11">
        <f>VLOOKUP(A20, Dataset!A:X, 7, FALSE)</f>
        <v>0</v>
      </c>
      <c r="C20" s="11">
        <f>VLOOKUP(A20, Dataset!A:X, 14, FALSE)</f>
        <v>0</v>
      </c>
      <c r="D20" s="11">
        <f>VLOOKUP(A20, Dataset!A:X, 18, FALSE)</f>
        <v>0</v>
      </c>
      <c r="E20" s="11">
        <f>VLOOKUP(A20, Dataset!A:X, 20, FALSE)</f>
        <v>0</v>
      </c>
      <c r="F20" s="8">
        <f>VLOOKUP(A20, Dataset!A:X, 22, FALSE)</f>
        <v>11</v>
      </c>
    </row>
    <row r="21" spans="1:6" ht="14.4" x14ac:dyDescent="0.3">
      <c r="A21" s="7" t="s">
        <v>57</v>
      </c>
      <c r="B21" s="11">
        <f>VLOOKUP(A21, Dataset!A:X, 7, FALSE)</f>
        <v>41.3</v>
      </c>
      <c r="C21" s="11">
        <f>VLOOKUP(A21, Dataset!A:X, 14, FALSE)</f>
        <v>124.4</v>
      </c>
      <c r="D21" s="11">
        <f>VLOOKUP(A21, Dataset!A:X, 18, FALSE)</f>
        <v>75</v>
      </c>
      <c r="E21" s="11">
        <f>VLOOKUP(A21, Dataset!A:X, 20, FALSE)</f>
        <v>151.5</v>
      </c>
      <c r="F21" s="8">
        <f>VLOOKUP(A21, Dataset!A:X, 22, FALSE)</f>
        <v>11</v>
      </c>
    </row>
    <row r="22" spans="1:6" ht="14.4" x14ac:dyDescent="0.3">
      <c r="A22" s="7" t="s">
        <v>58</v>
      </c>
      <c r="B22" s="11">
        <f>VLOOKUP(A22, Dataset!A:X, 7, FALSE)</f>
        <v>-1</v>
      </c>
      <c r="C22" s="11">
        <f>VLOOKUP(A22, Dataset!A:X, 14, FALSE)</f>
        <v>-1</v>
      </c>
      <c r="D22" s="11">
        <f>VLOOKUP(A22, Dataset!A:X, 18, FALSE)</f>
        <v>-1</v>
      </c>
      <c r="E22" s="11">
        <f>VLOOKUP(A22, Dataset!A:X, 20, FALSE)</f>
        <v>-1</v>
      </c>
      <c r="F22" s="8">
        <f>VLOOKUP(A22, Dataset!A:X, 22, FALSE)</f>
        <v>11</v>
      </c>
    </row>
    <row r="23" spans="1:6" ht="14.4" x14ac:dyDescent="0.3">
      <c r="A23" s="7" t="s">
        <v>31</v>
      </c>
      <c r="B23" s="11">
        <f>VLOOKUP(A23, Dataset!A:X, 7, FALSE)</f>
        <v>45</v>
      </c>
      <c r="C23" s="11">
        <f>VLOOKUP(A23, Dataset!A:X, 14, FALSE)</f>
        <v>133.4</v>
      </c>
      <c r="D23" s="11">
        <f>VLOOKUP(A23, Dataset!A:X, 18, FALSE)</f>
        <v>79.400000000000006</v>
      </c>
      <c r="E23" s="11">
        <f>VLOOKUP(A23, Dataset!A:X, 20, FALSE)</f>
        <v>160.9</v>
      </c>
      <c r="F23" s="8">
        <f>VLOOKUP(A23, Dataset!A:X, 22, FALSE)</f>
        <v>11</v>
      </c>
    </row>
    <row r="24" spans="1:6" ht="14.4" x14ac:dyDescent="0.3">
      <c r="A24" s="7" t="s">
        <v>32</v>
      </c>
      <c r="B24" s="11">
        <f>VLOOKUP(A24, Dataset!A:X, 7, FALSE)</f>
        <v>-1</v>
      </c>
      <c r="C24" s="11">
        <f>VLOOKUP(A24, Dataset!A:X, 14, FALSE)</f>
        <v>-1</v>
      </c>
      <c r="D24" s="11">
        <f>VLOOKUP(A24, Dataset!A:X, 18, FALSE)</f>
        <v>-1</v>
      </c>
      <c r="E24" s="11">
        <f>VLOOKUP(A24, Dataset!A:X, 20, FALSE)</f>
        <v>-1</v>
      </c>
      <c r="F24" s="8">
        <f>VLOOKUP(A24, Dataset!A:X, 22, FALSE)</f>
        <v>11</v>
      </c>
    </row>
    <row r="25" spans="1:6" ht="14.4" x14ac:dyDescent="0.3">
      <c r="A25" s="7" t="s">
        <v>34</v>
      </c>
      <c r="B25" s="11">
        <f>VLOOKUP(A25, Dataset!A:X, 7, FALSE)</f>
        <v>43.3</v>
      </c>
      <c r="C25" s="11">
        <f>VLOOKUP(A25, Dataset!A:X, 14, FALSE)</f>
        <v>128.6</v>
      </c>
      <c r="D25" s="11">
        <f>VLOOKUP(A25, Dataset!A:X, 18, FALSE)</f>
        <v>79.400000000000006</v>
      </c>
      <c r="E25" s="11">
        <f>VLOOKUP(A25, Dataset!A:X, 20, FALSE)</f>
        <v>160.9</v>
      </c>
      <c r="F25" s="8">
        <f>VLOOKUP(A25, Dataset!A:X, 22, FALSE)</f>
        <v>11</v>
      </c>
    </row>
    <row r="26" spans="1:6" ht="14.4" x14ac:dyDescent="0.3">
      <c r="A26" s="7" t="s">
        <v>37</v>
      </c>
      <c r="B26" s="11">
        <f>VLOOKUP(A26, Dataset!A:X, 7, FALSE)</f>
        <v>49.1</v>
      </c>
      <c r="C26" s="11">
        <f>VLOOKUP(A26, Dataset!A:X, 14, FALSE)</f>
        <v>146.80000000000001</v>
      </c>
      <c r="D26" s="11">
        <f>VLOOKUP(A26, Dataset!A:X, 18, FALSE)</f>
        <v>90.9</v>
      </c>
      <c r="E26" s="11">
        <f>VLOOKUP(A26, Dataset!A:X, 20, FALSE)</f>
        <v>183.5</v>
      </c>
      <c r="F26" s="8">
        <f>VLOOKUP(A26, Dataset!A:X, 22, FALSE)</f>
        <v>11</v>
      </c>
    </row>
    <row r="27" spans="1:6" ht="14.4" x14ac:dyDescent="0.3">
      <c r="A27" s="7" t="s">
        <v>39</v>
      </c>
      <c r="B27" s="11">
        <f>VLOOKUP(A27, Dataset!A:X, 7, FALSE)</f>
        <v>51.8</v>
      </c>
      <c r="C27" s="11">
        <f>VLOOKUP(A27, Dataset!A:X, 14, FALSE)</f>
        <v>156.4</v>
      </c>
      <c r="D27" s="11">
        <f>VLOOKUP(A27, Dataset!A:X, 18, FALSE)</f>
        <v>93.1</v>
      </c>
      <c r="E27" s="11">
        <f>VLOOKUP(A27, Dataset!A:X, 20, FALSE)</f>
        <v>188.1</v>
      </c>
      <c r="F27" s="8">
        <f>VLOOKUP(A27, Dataset!A:X, 22, FALSE)</f>
        <v>11</v>
      </c>
    </row>
    <row r="28" spans="1:6" ht="14.4" x14ac:dyDescent="0.3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4.2</v>
      </c>
    </row>
    <row r="29" spans="1:6" ht="14.4" x14ac:dyDescent="0.3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11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10.013636363636364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9" sqref="B9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172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149</v>
      </c>
    </row>
    <row r="5" spans="1:10" ht="18" x14ac:dyDescent="0.35">
      <c r="A5" s="42" t="s">
        <v>53</v>
      </c>
      <c r="B5" s="39" t="s">
        <v>175</v>
      </c>
    </row>
    <row r="6" spans="1:10" ht="18" x14ac:dyDescent="0.35">
      <c r="A6" s="42" t="s">
        <v>151</v>
      </c>
      <c r="B6" s="39" t="s">
        <v>176</v>
      </c>
    </row>
    <row r="7" spans="1:10" ht="18" x14ac:dyDescent="0.35">
      <c r="A7" s="42"/>
      <c r="B7" s="47" t="s">
        <v>177</v>
      </c>
    </row>
    <row r="8" spans="1:10" ht="15" x14ac:dyDescent="0.35">
      <c r="B8" s="47" t="s">
        <v>178</v>
      </c>
    </row>
    <row r="9" spans="1:10" ht="23.4" x14ac:dyDescent="0.45">
      <c r="A9" s="17" t="s">
        <v>163</v>
      </c>
      <c r="B9" s="1" t="s">
        <v>179</v>
      </c>
      <c r="I9" s="2"/>
      <c r="J9" s="2"/>
    </row>
    <row r="10" spans="1:10" x14ac:dyDescent="0.3">
      <c r="A10" s="32" t="s">
        <v>101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119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160</v>
      </c>
    </row>
    <row r="15" spans="1:10" x14ac:dyDescent="0.3">
      <c r="A15" s="13" t="s">
        <v>102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119</v>
      </c>
      <c r="B16" s="11" t="str">
        <f>LEFT(A16, SEARCH("-", A16) -1)</f>
        <v>20000</v>
      </c>
      <c r="C16" s="1" t="str">
        <f>MID(A16, FIND("-", A16) + 1, FIND("-", A16, FIND("-", A16) + 1) - FIND("-", A16) - 1)</f>
        <v>Monday</v>
      </c>
      <c r="D16" s="11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1" t="str">
        <f>RIGHT(A16, SEARCH("-", A16) -4)</f>
        <v>24</v>
      </c>
    </row>
    <row r="17" spans="1:6" x14ac:dyDescent="0.3">
      <c r="A17" s="7" t="s">
        <v>120</v>
      </c>
      <c r="B17" s="11" t="str">
        <f t="shared" ref="B17:B54" si="0">LEFT(A17, SEARCH("-", A17) - 1)</f>
        <v>20002</v>
      </c>
      <c r="C17" s="1" t="str">
        <f t="shared" ref="C17:C54" si="1">MID(A17, FIND("-", A17) + 1, FIND("-", A17, FIND("-", A17) + 1) - FIND("-", A17) - 1)</f>
        <v>Monday</v>
      </c>
      <c r="D17" s="11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11" t="str">
        <f t="shared" ref="F17:F54" si="4">RIGHT(A17, SEARCH("-", A17) -4)</f>
        <v>24</v>
      </c>
    </row>
    <row r="18" spans="1:6" x14ac:dyDescent="0.3">
      <c r="A18" s="7" t="s">
        <v>121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">
      <c r="A19" s="7" t="s">
        <v>122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">
      <c r="A20" s="7" t="s">
        <v>123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">
      <c r="A21" s="7" t="s">
        <v>124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">
      <c r="A22" s="7" t="s">
        <v>125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">
      <c r="A23" s="7" t="s">
        <v>126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">
      <c r="A24" s="7" t="s">
        <v>127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">
      <c r="A25" s="7" t="s">
        <v>128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">
      <c r="A26" s="7" t="s">
        <v>129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">
      <c r="A27" s="7" t="s">
        <v>130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">
      <c r="A28" s="7" t="s">
        <v>131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">
      <c r="A29" s="7" t="s">
        <v>132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">
      <c r="A30" s="7" t="s">
        <v>133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">
      <c r="A31" s="7" t="s">
        <v>134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">
      <c r="A32" s="7" t="s">
        <v>135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136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137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138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139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140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141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142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143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144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145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146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147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148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110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111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112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113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114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115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116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117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9" t="s">
        <v>118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1" t="s">
        <v>85</v>
      </c>
      <c r="B1" s="40" t="s">
        <v>165</v>
      </c>
    </row>
    <row r="2" spans="1:4" ht="18" x14ac:dyDescent="0.35">
      <c r="B2" s="39" t="s">
        <v>164</v>
      </c>
    </row>
    <row r="5" spans="1:4" ht="14.4" x14ac:dyDescent="0.3">
      <c r="B5" s="1" t="s">
        <v>149</v>
      </c>
    </row>
    <row r="6" spans="1:4" ht="14.4" x14ac:dyDescent="0.3">
      <c r="A6" s="3" t="s">
        <v>53</v>
      </c>
      <c r="B6" s="1" t="s">
        <v>181</v>
      </c>
    </row>
    <row r="7" spans="1:4" ht="14.4" x14ac:dyDescent="0.3">
      <c r="A7" s="3" t="s">
        <v>151</v>
      </c>
      <c r="B7" s="1" t="s">
        <v>182</v>
      </c>
    </row>
    <row r="10" spans="1:4" ht="23.4" x14ac:dyDescent="0.45">
      <c r="A10" s="17" t="s">
        <v>160</v>
      </c>
    </row>
    <row r="11" spans="1:4" ht="14.4" x14ac:dyDescent="0.3">
      <c r="A11" s="31" t="s">
        <v>86</v>
      </c>
      <c r="B11" s="16" t="s">
        <v>87</v>
      </c>
      <c r="C11" s="16" t="s">
        <v>180</v>
      </c>
      <c r="D11" s="2" t="s">
        <v>180</v>
      </c>
    </row>
    <row r="12" spans="1:4" ht="14.4" x14ac:dyDescent="0.3">
      <c r="A12" s="31">
        <v>44927</v>
      </c>
      <c r="B12" s="16" t="s">
        <v>59</v>
      </c>
      <c r="C12" s="16">
        <v>200</v>
      </c>
      <c r="D12" s="2">
        <f>IFERROR(C12, 20)</f>
        <v>200</v>
      </c>
    </row>
    <row r="13" spans="1:4" ht="14.4" x14ac:dyDescent="0.3">
      <c r="A13" s="31">
        <v>44928</v>
      </c>
      <c r="B13" s="16" t="s">
        <v>60</v>
      </c>
      <c r="C13" s="16" t="e">
        <v>#N/A</v>
      </c>
      <c r="D13" s="2">
        <f t="shared" ref="D13:D22" si="0">IFERROR(C13, 20)</f>
        <v>20</v>
      </c>
    </row>
    <row r="14" spans="1:4" ht="14.4" x14ac:dyDescent="0.3">
      <c r="A14" s="31">
        <v>44929</v>
      </c>
      <c r="B14" s="16" t="s">
        <v>61</v>
      </c>
      <c r="C14" s="16">
        <v>50</v>
      </c>
      <c r="D14" s="2">
        <f t="shared" si="0"/>
        <v>50</v>
      </c>
    </row>
    <row r="15" spans="1:4" ht="14.4" x14ac:dyDescent="0.3">
      <c r="A15" s="31">
        <v>44930</v>
      </c>
      <c r="B15" s="16" t="s">
        <v>62</v>
      </c>
      <c r="C15" s="16" t="e">
        <v>#N/A</v>
      </c>
      <c r="D15" s="2">
        <f t="shared" si="0"/>
        <v>20</v>
      </c>
    </row>
    <row r="16" spans="1:4" ht="14.4" x14ac:dyDescent="0.3">
      <c r="A16" s="31">
        <v>44931</v>
      </c>
      <c r="B16" s="16" t="s">
        <v>63</v>
      </c>
      <c r="C16" s="16">
        <v>10</v>
      </c>
      <c r="D16" s="2">
        <f t="shared" si="0"/>
        <v>10</v>
      </c>
    </row>
    <row r="17" spans="1:4" ht="14.4" x14ac:dyDescent="0.3">
      <c r="A17" s="31">
        <v>44932</v>
      </c>
      <c r="B17" s="16" t="s">
        <v>152</v>
      </c>
      <c r="C17" s="16">
        <v>150</v>
      </c>
      <c r="D17" s="2">
        <f t="shared" si="0"/>
        <v>150</v>
      </c>
    </row>
    <row r="18" spans="1:4" ht="14.4" x14ac:dyDescent="0.3">
      <c r="A18" s="31">
        <v>44933</v>
      </c>
      <c r="B18" s="16" t="s">
        <v>153</v>
      </c>
      <c r="C18" s="16">
        <v>80</v>
      </c>
      <c r="D18" s="2">
        <f t="shared" si="0"/>
        <v>80</v>
      </c>
    </row>
    <row r="19" spans="1:4" ht="14.4" x14ac:dyDescent="0.3">
      <c r="A19" s="31">
        <v>44934</v>
      </c>
      <c r="B19" s="16" t="s">
        <v>154</v>
      </c>
      <c r="C19" s="16" t="e">
        <v>#N/A</v>
      </c>
      <c r="D19" s="2">
        <f t="shared" si="0"/>
        <v>20</v>
      </c>
    </row>
    <row r="20" spans="1:4" ht="14.4" x14ac:dyDescent="0.3">
      <c r="A20" s="31">
        <v>44935</v>
      </c>
      <c r="B20" s="16" t="s">
        <v>155</v>
      </c>
      <c r="C20" s="16">
        <v>30</v>
      </c>
      <c r="D20" s="2">
        <f t="shared" si="0"/>
        <v>30</v>
      </c>
    </row>
    <row r="21" spans="1:4" ht="14.4" x14ac:dyDescent="0.3">
      <c r="A21" s="31">
        <v>44936</v>
      </c>
      <c r="B21" s="16" t="s">
        <v>156</v>
      </c>
      <c r="C21" s="16" t="e">
        <v>#N/A</v>
      </c>
      <c r="D21" s="2">
        <f t="shared" si="0"/>
        <v>20</v>
      </c>
    </row>
    <row r="22" spans="1:4" ht="14.4" x14ac:dyDescent="0.3">
      <c r="B22" s="16" t="s">
        <v>157</v>
      </c>
      <c r="C22" s="24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6" zoomScale="81" zoomScaleNormal="81" workbookViewId="0">
      <selection activeCell="C32" sqref="C32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97</v>
      </c>
      <c r="B1" s="40" t="s">
        <v>173</v>
      </c>
    </row>
    <row r="3" spans="1:14" ht="14.4" x14ac:dyDescent="0.3">
      <c r="B3" s="1" t="s">
        <v>149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151</v>
      </c>
      <c r="B5" s="1"/>
    </row>
    <row r="6" spans="1:14" ht="14.4" x14ac:dyDescent="0.3">
      <c r="A6" s="3"/>
      <c r="B6" s="1"/>
    </row>
    <row r="8" spans="1:14" ht="23.4" x14ac:dyDescent="0.45">
      <c r="A8" s="17" t="s">
        <v>160</v>
      </c>
      <c r="M8" s="17" t="s">
        <v>161</v>
      </c>
    </row>
    <row r="9" spans="1:14" ht="14.4" x14ac:dyDescent="0.3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4.4" x14ac:dyDescent="0.3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4.4" x14ac:dyDescent="0.3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4.4" x14ac:dyDescent="0.3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4.4" x14ac:dyDescent="0.3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4.4" x14ac:dyDescent="0.3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4.4" x14ac:dyDescent="0.3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4.4" x14ac:dyDescent="0.3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4.4" x14ac:dyDescent="0.3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4.4" x14ac:dyDescent="0.3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4" x14ac:dyDescent="0.45">
      <c r="A21" s="17" t="s">
        <v>166</v>
      </c>
    </row>
    <row r="22" spans="1:14" ht="14.4" x14ac:dyDescent="0.3">
      <c r="A22" s="13" t="s">
        <v>99</v>
      </c>
      <c r="B22" s="16" t="s">
        <v>100</v>
      </c>
      <c r="C22" s="15" t="s">
        <v>101</v>
      </c>
    </row>
    <row r="23" spans="1:14" ht="14.4" x14ac:dyDescent="0.3">
      <c r="A23" s="7">
        <v>10100</v>
      </c>
      <c r="B23" s="11">
        <v>10102</v>
      </c>
      <c r="C23" s="43"/>
    </row>
    <row r="24" spans="1:14" ht="14.4" x14ac:dyDescent="0.3">
      <c r="A24" s="7">
        <v>10100</v>
      </c>
      <c r="B24" s="11">
        <v>10104</v>
      </c>
    </row>
    <row r="25" spans="1:14" ht="14.4" x14ac:dyDescent="0.3">
      <c r="A25" s="7">
        <v>10108</v>
      </c>
      <c r="B25" s="11">
        <v>10102</v>
      </c>
      <c r="C25" s="43"/>
    </row>
    <row r="26" spans="1:14" ht="14.4" x14ac:dyDescent="0.3">
      <c r="A26" s="7">
        <v>10100</v>
      </c>
      <c r="B26" s="11">
        <v>10106</v>
      </c>
      <c r="C26" s="43"/>
    </row>
    <row r="27" spans="1:14" ht="14.4" x14ac:dyDescent="0.3">
      <c r="A27" s="7">
        <v>10108</v>
      </c>
      <c r="B27" s="11">
        <v>10110</v>
      </c>
      <c r="C27" s="43"/>
    </row>
    <row r="28" spans="1:14" ht="14.4" x14ac:dyDescent="0.3">
      <c r="A28" s="7">
        <v>10102</v>
      </c>
      <c r="B28" s="11">
        <v>10104</v>
      </c>
      <c r="C28" s="43"/>
    </row>
    <row r="29" spans="1:14" ht="14.4" x14ac:dyDescent="0.3">
      <c r="A29" s="7">
        <v>10106</v>
      </c>
      <c r="B29" s="11">
        <v>10108</v>
      </c>
      <c r="C29" s="43"/>
    </row>
    <row r="30" spans="1:14" ht="14.4" x14ac:dyDescent="0.3">
      <c r="A30" s="7">
        <v>10102</v>
      </c>
      <c r="B30" s="11">
        <v>10106</v>
      </c>
      <c r="C30" s="43"/>
    </row>
    <row r="31" spans="1:14" ht="14.4" x14ac:dyDescent="0.3">
      <c r="A31" s="7">
        <v>10110</v>
      </c>
      <c r="B31" s="11">
        <v>10114</v>
      </c>
      <c r="C31" s="43"/>
    </row>
    <row r="32" spans="1:14" ht="14.4" x14ac:dyDescent="0.3">
      <c r="A32" s="7">
        <v>10104</v>
      </c>
      <c r="B32" s="11">
        <v>10106</v>
      </c>
      <c r="C32" s="43"/>
    </row>
    <row r="33" spans="1:3" ht="14.4" x14ac:dyDescent="0.3">
      <c r="A33" s="7">
        <v>10110</v>
      </c>
      <c r="B33" s="11">
        <v>10112</v>
      </c>
      <c r="C33" s="43"/>
    </row>
    <row r="34" spans="1:3" ht="14.4" x14ac:dyDescent="0.3">
      <c r="A34" s="7">
        <v>10100</v>
      </c>
      <c r="B34" s="11">
        <v>10114</v>
      </c>
      <c r="C34" s="43"/>
    </row>
    <row r="35" spans="1:3" ht="14.4" x14ac:dyDescent="0.3">
      <c r="A35" s="9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Amit Vikram Ramesh</cp:lastModifiedBy>
  <dcterms:created xsi:type="dcterms:W3CDTF">2015-02-10T17:33:11Z</dcterms:created>
  <dcterms:modified xsi:type="dcterms:W3CDTF">2023-12-11T16:50:11Z</dcterms:modified>
</cp:coreProperties>
</file>